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426"/>
  <workbookPr/>
  <mc:AlternateContent xmlns:mc="http://schemas.openxmlformats.org/markup-compatibility/2006">
    <mc:Choice Requires="x15">
      <x15ac:absPath xmlns:x15ac="http://schemas.microsoft.com/office/spreadsheetml/2010/11/ac" url="D:\writing_paper\new-dataset\filter-dataset-v2\"/>
    </mc:Choice>
  </mc:AlternateContent>
  <xr:revisionPtr revIDLastSave="0" documentId="13_ncr:1_{07582A1D-05C8-4324-98AB-A90E96105734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U10" i="1" l="1"/>
  <c r="T10" i="1"/>
  <c r="T8" i="1"/>
  <c r="S8" i="1"/>
  <c r="R8" i="1"/>
  <c r="Q8" i="1"/>
  <c r="P8" i="1"/>
  <c r="O8" i="1"/>
  <c r="N8" i="1"/>
  <c r="M8" i="1"/>
  <c r="L8" i="1"/>
  <c r="K8" i="1"/>
  <c r="J8" i="1"/>
  <c r="I8" i="1"/>
  <c r="H8" i="1"/>
  <c r="G8" i="1"/>
  <c r="F8" i="1"/>
  <c r="E8" i="1"/>
  <c r="D8" i="1"/>
  <c r="C8" i="1"/>
  <c r="T3" i="1" l="1"/>
  <c r="S3" i="1"/>
  <c r="R3" i="1"/>
  <c r="Q3" i="1"/>
  <c r="P3" i="1"/>
  <c r="O3" i="1"/>
  <c r="N3" i="1"/>
  <c r="M3" i="1"/>
  <c r="L3" i="1"/>
  <c r="K3" i="1"/>
  <c r="J3" i="1"/>
  <c r="I3" i="1"/>
  <c r="H3" i="1"/>
  <c r="G3" i="1"/>
  <c r="F3" i="1"/>
  <c r="E3" i="1"/>
  <c r="D3" i="1"/>
  <c r="C3" i="1"/>
</calcChain>
</file>

<file path=xl/sharedStrings.xml><?xml version="1.0" encoding="utf-8"?>
<sst xmlns="http://schemas.openxmlformats.org/spreadsheetml/2006/main" count="108" uniqueCount="81">
  <si>
    <t>数据集</t>
    <phoneticPr fontId="1" type="noConversion"/>
  </si>
  <si>
    <t>原样本数</t>
    <phoneticPr fontId="1" type="noConversion"/>
  </si>
  <si>
    <t>data0</t>
    <phoneticPr fontId="1" type="noConversion"/>
  </si>
  <si>
    <t>data1</t>
    <phoneticPr fontId="1" type="noConversion"/>
  </si>
  <si>
    <t>SequenceR-train</t>
    <phoneticPr fontId="1" type="noConversion"/>
  </si>
  <si>
    <t>SequenceR-test</t>
    <phoneticPr fontId="1" type="noConversion"/>
  </si>
  <si>
    <t>SequenceR-val</t>
    <phoneticPr fontId="1" type="noConversion"/>
  </si>
  <si>
    <t>Train</t>
    <phoneticPr fontId="1" type="noConversion"/>
  </si>
  <si>
    <t>Valid</t>
    <phoneticPr fontId="1" type="noConversion"/>
  </si>
  <si>
    <t>200000</t>
    <phoneticPr fontId="1" type="noConversion"/>
  </si>
  <si>
    <t>97029</t>
    <phoneticPr fontId="1" type="noConversion"/>
  </si>
  <si>
    <t>33798</t>
    <phoneticPr fontId="1" type="noConversion"/>
  </si>
  <si>
    <t>4711</t>
    <phoneticPr fontId="1" type="noConversion"/>
  </si>
  <si>
    <t>1780</t>
    <phoneticPr fontId="1" type="noConversion"/>
  </si>
  <si>
    <t>144641</t>
    <phoneticPr fontId="1" type="noConversion"/>
  </si>
  <si>
    <t>13740</t>
    <phoneticPr fontId="1" type="noConversion"/>
  </si>
  <si>
    <t>10</t>
    <phoneticPr fontId="1" type="noConversion"/>
  </si>
  <si>
    <t>67</t>
    <phoneticPr fontId="1" type="noConversion"/>
  </si>
  <si>
    <t>0</t>
    <phoneticPr fontId="1" type="noConversion"/>
  </si>
  <si>
    <t>143</t>
    <phoneticPr fontId="1" type="noConversion"/>
  </si>
  <si>
    <t>6</t>
    <phoneticPr fontId="1" type="noConversion"/>
  </si>
  <si>
    <t>33</t>
    <phoneticPr fontId="1" type="noConversion"/>
  </si>
  <si>
    <t>80</t>
    <phoneticPr fontId="1" type="noConversion"/>
  </si>
  <si>
    <t>9</t>
    <phoneticPr fontId="1" type="noConversion"/>
  </si>
  <si>
    <t>1</t>
    <phoneticPr fontId="1" type="noConversion"/>
  </si>
  <si>
    <t>4</t>
    <phoneticPr fontId="1" type="noConversion"/>
  </si>
  <si>
    <t>5</t>
    <phoneticPr fontId="1" type="noConversion"/>
  </si>
  <si>
    <t>16</t>
    <phoneticPr fontId="1" type="noConversion"/>
  </si>
  <si>
    <t>模板类型</t>
    <phoneticPr fontId="1" type="noConversion"/>
  </si>
  <si>
    <t>v2样本数</t>
    <phoneticPr fontId="1" type="noConversion"/>
  </si>
  <si>
    <t>894</t>
    <phoneticPr fontId="1" type="noConversion"/>
  </si>
  <si>
    <t>520</t>
    <phoneticPr fontId="1" type="noConversion"/>
  </si>
  <si>
    <t>2512</t>
    <phoneticPr fontId="1" type="noConversion"/>
  </si>
  <si>
    <t>2</t>
    <phoneticPr fontId="1" type="noConversion"/>
  </si>
  <si>
    <t>169</t>
    <phoneticPr fontId="1" type="noConversion"/>
  </si>
  <si>
    <t>431</t>
    <phoneticPr fontId="1" type="noConversion"/>
  </si>
  <si>
    <t>75</t>
    <phoneticPr fontId="1" type="noConversion"/>
  </si>
  <si>
    <t>83</t>
    <phoneticPr fontId="1" type="noConversion"/>
  </si>
  <si>
    <t>22</t>
    <phoneticPr fontId="1" type="noConversion"/>
  </si>
  <si>
    <t>14</t>
    <phoneticPr fontId="1" type="noConversion"/>
  </si>
  <si>
    <t>21</t>
    <phoneticPr fontId="1" type="noConversion"/>
  </si>
  <si>
    <t>58</t>
    <phoneticPr fontId="1" type="noConversion"/>
  </si>
  <si>
    <t>1630</t>
    <phoneticPr fontId="1" type="noConversion"/>
  </si>
  <si>
    <t>709</t>
    <phoneticPr fontId="1" type="noConversion"/>
  </si>
  <si>
    <t>1099</t>
    <phoneticPr fontId="1" type="noConversion"/>
  </si>
  <si>
    <t>39</t>
    <phoneticPr fontId="1" type="noConversion"/>
  </si>
  <si>
    <t>260</t>
    <phoneticPr fontId="1" type="noConversion"/>
  </si>
  <si>
    <t>474</t>
    <phoneticPr fontId="1" type="noConversion"/>
  </si>
  <si>
    <t>235</t>
    <phoneticPr fontId="1" type="noConversion"/>
  </si>
  <si>
    <t>40</t>
    <phoneticPr fontId="1" type="noConversion"/>
  </si>
  <si>
    <t>62</t>
    <phoneticPr fontId="1" type="noConversion"/>
  </si>
  <si>
    <t>4135</t>
    <phoneticPr fontId="1" type="noConversion"/>
  </si>
  <si>
    <t>7145</t>
    <phoneticPr fontId="1" type="noConversion"/>
  </si>
  <si>
    <t>17211</t>
    <phoneticPr fontId="1" type="noConversion"/>
  </si>
  <si>
    <t>49</t>
    <phoneticPr fontId="1" type="noConversion"/>
  </si>
  <si>
    <t>1313</t>
    <phoneticPr fontId="1" type="noConversion"/>
  </si>
  <si>
    <t>2744</t>
    <phoneticPr fontId="1" type="noConversion"/>
  </si>
  <si>
    <t>85</t>
    <phoneticPr fontId="1" type="noConversion"/>
  </si>
  <si>
    <t>731</t>
    <phoneticPr fontId="1" type="noConversion"/>
  </si>
  <si>
    <t>1222</t>
    <phoneticPr fontId="1" type="noConversion"/>
  </si>
  <si>
    <t>313</t>
    <phoneticPr fontId="1" type="noConversion"/>
  </si>
  <si>
    <t>69</t>
    <phoneticPr fontId="1" type="noConversion"/>
  </si>
  <si>
    <t>125</t>
    <phoneticPr fontId="1" type="noConversion"/>
  </si>
  <si>
    <t>293</t>
    <phoneticPr fontId="1" type="noConversion"/>
  </si>
  <si>
    <t>10229</t>
    <phoneticPr fontId="1" type="noConversion"/>
  </si>
  <si>
    <t>576</t>
    <phoneticPr fontId="1" type="noConversion"/>
  </si>
  <si>
    <t>6349</t>
    <phoneticPr fontId="1" type="noConversion"/>
  </si>
  <si>
    <t>4666</t>
    <phoneticPr fontId="1" type="noConversion"/>
  </si>
  <si>
    <t>599</t>
    <phoneticPr fontId="1" type="noConversion"/>
  </si>
  <si>
    <t>2607</t>
    <phoneticPr fontId="1" type="noConversion"/>
  </si>
  <si>
    <t>1344</t>
    <phoneticPr fontId="1" type="noConversion"/>
  </si>
  <si>
    <t>1992</t>
    <phoneticPr fontId="1" type="noConversion"/>
  </si>
  <si>
    <t>311</t>
    <phoneticPr fontId="1" type="noConversion"/>
  </si>
  <si>
    <t>1697</t>
    <phoneticPr fontId="1" type="noConversion"/>
  </si>
  <si>
    <t>3170</t>
    <phoneticPr fontId="1" type="noConversion"/>
  </si>
  <si>
    <t>111</t>
    <phoneticPr fontId="1" type="noConversion"/>
  </si>
  <si>
    <t>34</t>
    <phoneticPr fontId="1" type="noConversion"/>
  </si>
  <si>
    <t>350</t>
    <phoneticPr fontId="1" type="noConversion"/>
  </si>
  <si>
    <t>286</t>
    <phoneticPr fontId="1" type="noConversion"/>
  </si>
  <si>
    <t>21500</t>
    <phoneticPr fontId="1" type="noConversion"/>
  </si>
  <si>
    <t>45661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</si>
</sst>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FF0000"/>
      <name val="等线"/>
      <family val="2"/>
      <scheme val="minor"/>
    </font>
    <font>
      <sz val="11"/>
      <color rgb="FF00B0F0"/>
      <name val="等线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/>
    </xf>
    <xf numFmtId="49" fontId="2" fillId="0" borderId="0" xfId="0" applyNumberFormat="1" applyFont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0"/>
  <sheetViews>
    <sheetView tabSelected="1" workbookViewId="0">
      <selection activeCell="F21" sqref="F21"/>
    </sheetView>
  </sheetViews>
  <sheetFormatPr defaultColWidth="11.77734375" defaultRowHeight="13.8" x14ac:dyDescent="0.25"/>
  <cols>
    <col min="1" max="1" width="16.33203125" bestFit="1" customWidth="1"/>
    <col min="2" max="2" width="9.5546875" bestFit="1" customWidth="1"/>
    <col min="3" max="19" width="7.77734375" customWidth="1"/>
    <col min="20" max="20" width="9.44140625" bestFit="1" customWidth="1"/>
  </cols>
  <sheetData>
    <row r="1" spans="1:21" x14ac:dyDescent="0.25">
      <c r="C1" s="5" t="s">
        <v>28</v>
      </c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</row>
    <row r="2" spans="1:21" x14ac:dyDescent="0.25">
      <c r="A2" s="1" t="s">
        <v>0</v>
      </c>
      <c r="B2" s="1" t="s">
        <v>1</v>
      </c>
      <c r="C2" s="1">
        <v>1</v>
      </c>
      <c r="D2" s="1">
        <v>2</v>
      </c>
      <c r="E2" s="4">
        <v>3</v>
      </c>
      <c r="F2" s="1">
        <v>4</v>
      </c>
      <c r="G2" s="1">
        <v>5</v>
      </c>
      <c r="H2" s="4">
        <v>6</v>
      </c>
      <c r="I2" s="1">
        <v>7</v>
      </c>
      <c r="J2" s="1">
        <v>8</v>
      </c>
      <c r="K2" s="4">
        <v>9</v>
      </c>
      <c r="L2" s="1">
        <v>10</v>
      </c>
      <c r="M2" s="1">
        <v>11</v>
      </c>
      <c r="N2" s="1">
        <v>12</v>
      </c>
      <c r="O2" s="1">
        <v>13</v>
      </c>
      <c r="P2" s="4">
        <v>14</v>
      </c>
      <c r="Q2" s="1">
        <v>15</v>
      </c>
      <c r="R2" s="1">
        <v>16</v>
      </c>
      <c r="S2" s="1">
        <v>17</v>
      </c>
      <c r="T2" s="1" t="s">
        <v>29</v>
      </c>
    </row>
    <row r="3" spans="1:21" x14ac:dyDescent="0.25">
      <c r="A3" s="1" t="s">
        <v>2</v>
      </c>
      <c r="B3" s="2" t="s">
        <v>9</v>
      </c>
      <c r="C3" s="3">
        <f>669+602</f>
        <v>1271</v>
      </c>
      <c r="D3" s="3">
        <f>6708+6666</f>
        <v>13374</v>
      </c>
      <c r="E3" s="3">
        <f>0+0</f>
        <v>0</v>
      </c>
      <c r="F3" s="3">
        <f>4846+4981</f>
        <v>9827</v>
      </c>
      <c r="G3" s="3">
        <f>711+539</f>
        <v>1250</v>
      </c>
      <c r="H3" s="3">
        <f>2935+3343</f>
        <v>6278</v>
      </c>
      <c r="I3" s="3">
        <f>1408+1495</f>
        <v>2903</v>
      </c>
      <c r="J3" s="3">
        <f>2677+2715</f>
        <v>5392</v>
      </c>
      <c r="K3" s="3">
        <f>357+303</f>
        <v>660</v>
      </c>
      <c r="L3" s="3">
        <f>1955+1983</f>
        <v>3938</v>
      </c>
      <c r="M3" s="3">
        <f>3167+3747</f>
        <v>6914</v>
      </c>
      <c r="N3" s="3">
        <f>112+92</f>
        <v>204</v>
      </c>
      <c r="O3" s="3">
        <f>115+166</f>
        <v>281</v>
      </c>
      <c r="P3" s="3">
        <f>67+52</f>
        <v>119</v>
      </c>
      <c r="Q3" s="3">
        <f>421+418</f>
        <v>839</v>
      </c>
      <c r="R3" s="3">
        <f>286+348</f>
        <v>634</v>
      </c>
      <c r="S3" s="3">
        <f>22171+21046</f>
        <v>43217</v>
      </c>
      <c r="T3" s="3">
        <f>48605+48496</f>
        <v>97101</v>
      </c>
    </row>
    <row r="4" spans="1:21" x14ac:dyDescent="0.25">
      <c r="A4" s="1" t="s">
        <v>3</v>
      </c>
      <c r="B4" s="2" t="s">
        <v>10</v>
      </c>
      <c r="C4" s="2" t="s">
        <v>65</v>
      </c>
      <c r="D4" s="2" t="s">
        <v>66</v>
      </c>
      <c r="E4" s="2" t="s">
        <v>18</v>
      </c>
      <c r="F4" s="2" t="s">
        <v>67</v>
      </c>
      <c r="G4" s="2" t="s">
        <v>68</v>
      </c>
      <c r="H4" s="2" t="s">
        <v>69</v>
      </c>
      <c r="I4" s="2" t="s">
        <v>70</v>
      </c>
      <c r="J4" s="2" t="s">
        <v>71</v>
      </c>
      <c r="K4" s="2" t="s">
        <v>72</v>
      </c>
      <c r="L4" s="2" t="s">
        <v>73</v>
      </c>
      <c r="M4" s="2" t="s">
        <v>74</v>
      </c>
      <c r="N4" s="2" t="s">
        <v>61</v>
      </c>
      <c r="O4" s="2" t="s">
        <v>75</v>
      </c>
      <c r="P4" s="2" t="s">
        <v>76</v>
      </c>
      <c r="Q4" s="2" t="s">
        <v>77</v>
      </c>
      <c r="R4" s="2" t="s">
        <v>78</v>
      </c>
      <c r="S4" s="2" t="s">
        <v>79</v>
      </c>
      <c r="T4" s="2" t="s">
        <v>80</v>
      </c>
    </row>
    <row r="5" spans="1:21" x14ac:dyDescent="0.25">
      <c r="A5" s="1" t="s">
        <v>4</v>
      </c>
      <c r="B5" s="2" t="s">
        <v>11</v>
      </c>
      <c r="C5" s="2" t="s">
        <v>54</v>
      </c>
      <c r="D5" s="2" t="s">
        <v>55</v>
      </c>
      <c r="E5" s="2" t="s">
        <v>18</v>
      </c>
      <c r="F5" s="2" t="s">
        <v>56</v>
      </c>
      <c r="G5" s="2" t="s">
        <v>57</v>
      </c>
      <c r="H5" s="2" t="s">
        <v>24</v>
      </c>
      <c r="I5" s="2" t="s">
        <v>58</v>
      </c>
      <c r="J5" s="2" t="s">
        <v>59</v>
      </c>
      <c r="K5" s="2" t="s">
        <v>33</v>
      </c>
      <c r="L5" s="2" t="s">
        <v>60</v>
      </c>
      <c r="M5" s="2" t="s">
        <v>39</v>
      </c>
      <c r="N5" s="2" t="s">
        <v>40</v>
      </c>
      <c r="O5" s="2" t="s">
        <v>61</v>
      </c>
      <c r="P5" s="2" t="s">
        <v>18</v>
      </c>
      <c r="Q5" s="2" t="s">
        <v>62</v>
      </c>
      <c r="R5" s="2" t="s">
        <v>63</v>
      </c>
      <c r="S5" s="2" t="s">
        <v>64</v>
      </c>
      <c r="T5" s="2" t="s">
        <v>53</v>
      </c>
    </row>
    <row r="6" spans="1:21" x14ac:dyDescent="0.25">
      <c r="A6" s="1" t="s">
        <v>5</v>
      </c>
      <c r="B6" s="2" t="s">
        <v>12</v>
      </c>
      <c r="C6" s="2" t="s">
        <v>33</v>
      </c>
      <c r="D6" s="2" t="s">
        <v>34</v>
      </c>
      <c r="E6" s="2" t="s">
        <v>18</v>
      </c>
      <c r="F6" s="2" t="s">
        <v>35</v>
      </c>
      <c r="G6" s="2" t="s">
        <v>25</v>
      </c>
      <c r="H6" s="2" t="s">
        <v>18</v>
      </c>
      <c r="I6" s="2" t="s">
        <v>36</v>
      </c>
      <c r="J6" s="2" t="s">
        <v>37</v>
      </c>
      <c r="K6" s="2" t="s">
        <v>18</v>
      </c>
      <c r="L6" s="2" t="s">
        <v>38</v>
      </c>
      <c r="M6" s="2" t="s">
        <v>33</v>
      </c>
      <c r="N6" s="2" t="s">
        <v>39</v>
      </c>
      <c r="O6" s="2" t="s">
        <v>24</v>
      </c>
      <c r="P6" s="2" t="s">
        <v>18</v>
      </c>
      <c r="Q6" s="2" t="s">
        <v>40</v>
      </c>
      <c r="R6" s="2" t="s">
        <v>41</v>
      </c>
      <c r="S6" s="2" t="s">
        <v>42</v>
      </c>
      <c r="T6" s="2" t="s">
        <v>32</v>
      </c>
    </row>
    <row r="7" spans="1:21" x14ac:dyDescent="0.25">
      <c r="A7" s="1" t="s">
        <v>6</v>
      </c>
      <c r="B7" s="2" t="s">
        <v>13</v>
      </c>
      <c r="C7" s="2" t="s">
        <v>16</v>
      </c>
      <c r="D7" s="2" t="s">
        <v>17</v>
      </c>
      <c r="E7" s="2" t="s">
        <v>18</v>
      </c>
      <c r="F7" s="2" t="s">
        <v>19</v>
      </c>
      <c r="G7" s="2" t="s">
        <v>20</v>
      </c>
      <c r="H7" s="2" t="s">
        <v>18</v>
      </c>
      <c r="I7" s="2" t="s">
        <v>21</v>
      </c>
      <c r="J7" s="2" t="s">
        <v>22</v>
      </c>
      <c r="K7" s="2" t="s">
        <v>18</v>
      </c>
      <c r="L7" s="2" t="s">
        <v>23</v>
      </c>
      <c r="M7" s="2" t="s">
        <v>18</v>
      </c>
      <c r="N7" s="2" t="s">
        <v>24</v>
      </c>
      <c r="O7" s="2" t="s">
        <v>25</v>
      </c>
      <c r="P7" s="2" t="s">
        <v>18</v>
      </c>
      <c r="Q7" s="2" t="s">
        <v>26</v>
      </c>
      <c r="R7" s="2" t="s">
        <v>27</v>
      </c>
      <c r="S7" s="2" t="s">
        <v>31</v>
      </c>
      <c r="T7" s="2" t="s">
        <v>30</v>
      </c>
    </row>
    <row r="8" spans="1:21" x14ac:dyDescent="0.25">
      <c r="A8" s="1" t="s">
        <v>7</v>
      </c>
      <c r="B8" s="2" t="s">
        <v>14</v>
      </c>
      <c r="C8" s="3">
        <f>105+290</f>
        <v>395</v>
      </c>
      <c r="D8" s="3">
        <f>2391+5701</f>
        <v>8092</v>
      </c>
      <c r="E8" s="3">
        <f>0+0</f>
        <v>0</v>
      </c>
      <c r="F8" s="3">
        <f>3517+8049</f>
        <v>11566</v>
      </c>
      <c r="G8" s="3">
        <f>82+198</f>
        <v>280</v>
      </c>
      <c r="H8" s="3">
        <f>0+1</f>
        <v>1</v>
      </c>
      <c r="I8" s="3">
        <f>1325+2937</f>
        <v>4262</v>
      </c>
      <c r="J8" s="3">
        <f>1593+3619</f>
        <v>5212</v>
      </c>
      <c r="K8" s="3">
        <f>0+0</f>
        <v>0</v>
      </c>
      <c r="L8" s="3">
        <f>1052+2164</f>
        <v>3216</v>
      </c>
      <c r="M8" s="3">
        <f>154+335</f>
        <v>489</v>
      </c>
      <c r="N8" s="3">
        <f>122+281</f>
        <v>403</v>
      </c>
      <c r="O8" s="3">
        <f>56+118</f>
        <v>174</v>
      </c>
      <c r="P8" s="3">
        <f>0+0</f>
        <v>0</v>
      </c>
      <c r="Q8" s="3">
        <f>125+208</f>
        <v>333</v>
      </c>
      <c r="R8" s="3">
        <f>203+534</f>
        <v>737</v>
      </c>
      <c r="S8" s="3">
        <f>14288+31654</f>
        <v>45942</v>
      </c>
      <c r="T8" s="3">
        <f>25013+56089</f>
        <v>81102</v>
      </c>
    </row>
    <row r="9" spans="1:21" x14ac:dyDescent="0.25">
      <c r="A9" s="1" t="s">
        <v>8</v>
      </c>
      <c r="B9" s="2" t="s">
        <v>15</v>
      </c>
      <c r="C9" s="2" t="s">
        <v>40</v>
      </c>
      <c r="D9" s="2" t="s">
        <v>43</v>
      </c>
      <c r="E9" s="2" t="s">
        <v>18</v>
      </c>
      <c r="F9" s="2" t="s">
        <v>44</v>
      </c>
      <c r="G9" s="2" t="s">
        <v>45</v>
      </c>
      <c r="H9" s="2" t="s">
        <v>18</v>
      </c>
      <c r="I9" s="2" t="s">
        <v>46</v>
      </c>
      <c r="J9" s="2" t="s">
        <v>47</v>
      </c>
      <c r="K9" s="2" t="s">
        <v>18</v>
      </c>
      <c r="L9" s="2" t="s">
        <v>48</v>
      </c>
      <c r="M9" s="2" t="s">
        <v>49</v>
      </c>
      <c r="N9" s="2" t="s">
        <v>21</v>
      </c>
      <c r="O9" s="2" t="s">
        <v>27</v>
      </c>
      <c r="P9" s="2" t="s">
        <v>18</v>
      </c>
      <c r="Q9" s="2" t="s">
        <v>38</v>
      </c>
      <c r="R9" s="2" t="s">
        <v>50</v>
      </c>
      <c r="S9" s="2" t="s">
        <v>51</v>
      </c>
      <c r="T9" s="2" t="s">
        <v>52</v>
      </c>
    </row>
    <row r="10" spans="1:21" x14ac:dyDescent="0.25">
      <c r="T10" s="6">
        <f>T3+T4+T5+T6+T7+T8+T9</f>
        <v>251626</v>
      </c>
      <c r="U10" s="7">
        <f>T10-H3-H4-H5-H8-K3-K4-K5-P3-P4</f>
        <v>241613</v>
      </c>
    </row>
  </sheetData>
  <mergeCells count="1">
    <mergeCell ref="C1:S1"/>
  </mergeCells>
  <phoneticPr fontId="1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丁旭行</dc:creator>
  <cp:lastModifiedBy>未定义</cp:lastModifiedBy>
  <dcterms:created xsi:type="dcterms:W3CDTF">2015-06-05T18:19:34Z</dcterms:created>
  <dcterms:modified xsi:type="dcterms:W3CDTF">2023-08-18T02:26:09Z</dcterms:modified>
</cp:coreProperties>
</file>